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<sst xmlns="http://schemas.openxmlformats.org/spreadsheetml/2006/main" count="31" uniqueCount="30">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</sst>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calcChain.xml" Type="http://schemas.openxmlformats.org/officeDocument/2006/relationships/calcChain"/>
<Relationship Id="rId6" Target="vbaProject.bin" Type="http://schemas.microsoft.com/office/2006/relationships/vbaProjec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L15" sqref="L15"/>
    </sheetView>
  </sheetViews>
  <sheetFormatPr defaultRowHeight="15" x14ac:dyDescent="0.25"/>
  <cols>
    <col min="1" max="1" bestFit="true" customWidth="true" width="66.42578125" collapsed="true"/>
    <col min="2" max="2" bestFit="true" customWidth="true" width="10.28515625" collapsed="true"/>
    <col min="6" max="6" bestFit="true" customWidth="true" width="12.42578125" collapsed="true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19865.240232487326</v>
      </c>
      <c r="C3" s="20">
        <v>10000</v>
      </c>
      <c r="D3" s="20">
        <v>13755.434033849866</v>
      </c>
      <c r="E3" s="20">
        <v>10000</v>
      </c>
      <c r="F3" s="20">
        <v>15320.521041403947</v>
      </c>
      <c r="G3" s="20">
        <v>15804.469471489701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 t="n">
        <v>15000.0</v>
      </c>
      <c r="C4" s="3" t="n">
        <v>17000.0</v>
      </c>
      <c r="D4" s="3" t="n">
        <v>11000.0</v>
      </c>
      <c r="E4" s="3" t="n">
        <v>13000.0</v>
      </c>
      <c r="F4" s="3" t="n">
        <v>12000.0</v>
      </c>
      <c r="G4" s="3" t="n">
        <v>15000.0</v>
      </c>
      <c r="H4" s="3" t="n">
        <v>17000.0</v>
      </c>
      <c r="I4" s="16" t="n">
        <v>14000.0</v>
      </c>
      <c r="J4" s="11"/>
    </row>
    <row r="5" spans="1:10" ht="16.5" thickBot="1" x14ac:dyDescent="0.3">
      <c r="A5" s="2" t="s">
        <v>3</v>
      </c>
      <c r="B5" s="3" t="n">
        <v>10000.0</v>
      </c>
      <c r="C5" s="3" t="n">
        <v>10000.0</v>
      </c>
      <c r="D5" s="3" t="n">
        <v>10000.0</v>
      </c>
      <c r="E5" s="3" t="n">
        <v>10000.0</v>
      </c>
      <c r="F5" s="3" t="n">
        <v>10000.0</v>
      </c>
      <c r="G5" s="3" t="n">
        <v>10000.0</v>
      </c>
      <c r="H5" s="3" t="n">
        <v>10000.0</v>
      </c>
      <c r="I5" s="16" t="n">
        <v>10000.0</v>
      </c>
      <c r="J5" s="18"/>
    </row>
    <row r="6" spans="1:10" ht="16.5" thickBot="1" x14ac:dyDescent="0.3">
      <c r="A6" s="2" t="s">
        <v>4</v>
      </c>
      <c r="B6" s="3" t="n">
        <v>20000.0</v>
      </c>
      <c r="C6" s="3" t="n">
        <v>20000.0</v>
      </c>
      <c r="D6" s="3" t="n">
        <v>20000.0</v>
      </c>
      <c r="E6" s="3" t="n">
        <v>20000.0</v>
      </c>
      <c r="F6" s="3" t="n">
        <v>20000.0</v>
      </c>
      <c r="G6" s="3" t="n">
        <v>20000.0</v>
      </c>
      <c r="H6" s="3" t="n">
        <v>20000.0</v>
      </c>
      <c r="I6" s="16" t="n">
        <v>20000.0</v>
      </c>
      <c r="J6" s="11"/>
    </row>
    <row r="7" spans="1:10" ht="15.75" thickBot="1" x14ac:dyDescent="0.3">
      <c r="A7" s="2" t="s">
        <v>5</v>
      </c>
      <c r="B7" s="3" t="n">
        <v>67.0</v>
      </c>
      <c r="C7" s="3" t="n">
        <v>66.76</v>
      </c>
      <c r="D7" s="3" t="n">
        <v>56.08</v>
      </c>
      <c r="E7" s="3" t="n">
        <v>49.78</v>
      </c>
      <c r="F7" s="3" t="n">
        <v>62.92</v>
      </c>
      <c r="G7" s="3" t="n">
        <v>60.02</v>
      </c>
      <c r="H7" s="3" t="n">
        <v>81.68</v>
      </c>
      <c r="I7" s="16" t="n">
        <v>69.7</v>
      </c>
      <c r="J7" s="11"/>
    </row>
    <row r="8" spans="1:10" ht="16.5" thickBot="1" x14ac:dyDescent="0.3">
      <c r="A8" s="2" t="s">
        <v>6</v>
      </c>
      <c r="B8" s="3" t="n">
        <v>0.7</v>
      </c>
      <c r="C8" s="3" t="n">
        <v>0.53</v>
      </c>
      <c r="D8" s="3" t="n">
        <v>0.85</v>
      </c>
      <c r="E8" s="3" t="n">
        <v>0.59</v>
      </c>
      <c r="F8" s="3" t="n">
        <v>0.75</v>
      </c>
      <c r="G8" s="3" t="n">
        <v>0.79</v>
      </c>
      <c r="H8" s="3" t="n">
        <v>0.87</v>
      </c>
      <c r="I8" s="16" t="n">
        <v>0.77</v>
      </c>
      <c r="J8" s="11"/>
    </row>
    <row r="9" spans="1:10" ht="15.75" thickBot="1" x14ac:dyDescent="0.3">
      <c r="A9" s="2" t="s">
        <v>7</v>
      </c>
      <c r="B9" s="3" t="n">
        <v>146.4</v>
      </c>
      <c r="C9" s="3" t="n">
        <v>136.4</v>
      </c>
      <c r="D9" s="3" t="n">
        <v>134.3</v>
      </c>
      <c r="E9" s="3" t="n">
        <v>122.3</v>
      </c>
      <c r="F9" s="3" t="n">
        <v>138.2</v>
      </c>
      <c r="G9" s="3" t="n">
        <v>138.8</v>
      </c>
      <c r="H9" s="3" t="n">
        <v>191.4</v>
      </c>
      <c r="I9" s="16" t="n">
        <v>151.6</v>
      </c>
      <c r="J9" s="11"/>
    </row>
    <row r="10" spans="1:10" ht="15.75" thickBot="1" x14ac:dyDescent="0.3">
      <c r="A10" s="2" t="s">
        <v>8</v>
      </c>
      <c r="B10" s="3" t="n">
        <v>0.7</v>
      </c>
      <c r="C10" s="3" t="n">
        <v>0.51</v>
      </c>
      <c r="D10" s="3" t="n">
        <v>0.66</v>
      </c>
      <c r="E10" s="3" t="n">
        <v>0.6</v>
      </c>
      <c r="F10" s="3" t="n">
        <v>0.859</v>
      </c>
      <c r="G10" s="3" t="n">
        <v>0.44</v>
      </c>
      <c r="H10" s="3" t="n">
        <v>0.4</v>
      </c>
      <c r="I10" s="16" t="n">
        <v>0.6</v>
      </c>
      <c r="J10" s="11"/>
    </row>
    <row r="11" spans="1:10" ht="15.75" thickBot="1" x14ac:dyDescent="0.3">
      <c r="A11" s="2" t="s">
        <v>9</v>
      </c>
      <c r="B11" s="3" t="n">
        <v>0.4</v>
      </c>
      <c r="C11" s="3" t="n">
        <v>0.4</v>
      </c>
      <c r="D11" s="3" t="n">
        <v>0.4</v>
      </c>
      <c r="E11" s="3" t="n">
        <v>0.4</v>
      </c>
      <c r="F11" s="3" t="n">
        <v>0.4</v>
      </c>
      <c r="G11" s="3" t="n">
        <v>0.4</v>
      </c>
      <c r="H11" s="3" t="n">
        <v>0.4</v>
      </c>
      <c r="I11" s="16" t="n">
        <v>0.4</v>
      </c>
      <c r="J11" s="11"/>
    </row>
    <row r="12" spans="1:10" ht="15.75" thickBot="1" x14ac:dyDescent="0.3">
      <c r="A12" s="2" t="s">
        <v>10</v>
      </c>
      <c r="B12" s="3" t="n">
        <v>0.9</v>
      </c>
      <c r="C12" s="3" t="n">
        <v>0.8</v>
      </c>
      <c r="D12" s="3" t="n">
        <v>0.8</v>
      </c>
      <c r="E12" s="3" t="n">
        <v>0.8</v>
      </c>
      <c r="F12" s="3" t="n">
        <v>0.8</v>
      </c>
      <c r="G12" s="3" t="n">
        <v>0.8</v>
      </c>
      <c r="H12" s="3" t="n">
        <v>0.8</v>
      </c>
      <c r="I12" s="16" t="n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 t="n">
        <v>-7.295E-4</v>
      </c>
      <c r="C14" s="3" t="n">
        <v>-6.695E-4</v>
      </c>
      <c r="D14" s="3" t="n">
        <v>0.0</v>
      </c>
      <c r="E14" s="3" t="n">
        <v>-7.2373E-4</v>
      </c>
      <c r="F14" s="3" t="n">
        <v>-7.724E-4</v>
      </c>
      <c r="G14" s="3" t="n">
        <v>-6.872E-4</v>
      </c>
      <c r="H14" s="3" t="n">
        <v>-7.284E-4</v>
      </c>
      <c r="I14" s="16" t="n">
        <v>-7.305E-4</v>
      </c>
      <c r="J14" s="11"/>
    </row>
    <row r="15" spans="1:10" ht="15.75" thickBot="1" x14ac:dyDescent="0.3">
      <c r="A15" s="2" t="s">
        <v>13</v>
      </c>
      <c r="B15" s="3" t="n">
        <v>-0.00297</v>
      </c>
      <c r="C15" s="3" t="n">
        <v>-0.00297</v>
      </c>
      <c r="D15" s="3" t="n">
        <v>-0.002928</v>
      </c>
      <c r="E15" s="3" t="n">
        <v>-0.002897</v>
      </c>
      <c r="F15" s="3" t="n">
        <v>-0.00297</v>
      </c>
      <c r="G15" s="3" t="n">
        <v>-0.00297</v>
      </c>
      <c r="H15" s="3" t="n">
        <v>-0.003316</v>
      </c>
      <c r="I15" s="16" t="n">
        <v>-0.00356</v>
      </c>
      <c r="J15" s="11"/>
    </row>
    <row r="16" spans="1:10" ht="16.5" thickBot="1" x14ac:dyDescent="0.3">
      <c r="A16" s="2" t="s">
        <v>14</v>
      </c>
      <c r="B16" s="3" t="n">
        <v>1.186E-4</v>
      </c>
      <c r="C16" s="3" t="n">
        <v>6.34E-5</v>
      </c>
      <c r="D16" s="3" t="n">
        <v>6.42E-5</v>
      </c>
      <c r="E16" s="3" t="n">
        <v>7.02E-5</v>
      </c>
      <c r="F16" s="3" t="n">
        <v>8.14E-5</v>
      </c>
      <c r="G16" s="3" t="n">
        <v>7.89E-5</v>
      </c>
      <c r="H16" s="3" t="n">
        <v>1.231E-4</v>
      </c>
      <c r="I16" s="16" t="n">
        <v>9.53E-5</v>
      </c>
      <c r="J16" s="11"/>
    </row>
    <row r="17" spans="1:10" ht="15.75" thickBot="1" x14ac:dyDescent="0.3">
      <c r="A17" s="2" t="s">
        <v>15</v>
      </c>
      <c r="B17" s="3" t="n">
        <v>1.198E-4</v>
      </c>
      <c r="C17" s="3" t="n">
        <v>1.187E-4</v>
      </c>
      <c r="D17" s="3" t="n">
        <v>9.87E-5</v>
      </c>
      <c r="E17" s="3" t="n">
        <v>1.19E-4</v>
      </c>
      <c r="F17" s="3" t="n">
        <v>1.09E-4</v>
      </c>
      <c r="G17" s="3" t="n">
        <v>1.143E-4</v>
      </c>
      <c r="H17" s="3" t="n">
        <v>1.43E-4</v>
      </c>
      <c r="I17" s="16" t="n">
        <v>1.48E-4</v>
      </c>
      <c r="J17" s="11"/>
    </row>
    <row r="18" spans="1:10" ht="15.75" thickBot="1" x14ac:dyDescent="0.3">
      <c r="A18" s="2" t="s">
        <v>16</v>
      </c>
      <c r="B18" s="3" t="n">
        <v>-0.0282</v>
      </c>
      <c r="C18" s="3" t="n">
        <v>-0.0292</v>
      </c>
      <c r="D18" s="3" t="n">
        <v>-0.03</v>
      </c>
      <c r="E18" s="3" t="n">
        <v>-0.0229</v>
      </c>
      <c r="F18" s="3" t="n">
        <v>-0.0277</v>
      </c>
      <c r="G18" s="3" t="n">
        <v>-0.0231</v>
      </c>
      <c r="H18" s="3" t="n">
        <v>-0.0154</v>
      </c>
      <c r="I18" s="16" t="n">
        <v>-0.0141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 t="n">
        <v>120000.0</v>
      </c>
    </row>
    <row r="27" spans="1:10" x14ac:dyDescent="0.25">
      <c r="A27" s="8" t="s">
        <v>22</v>
      </c>
      <c r="B27" s="8" t="n">
        <v>520.0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61.379508262832481</v>
      </c>
      <c r="C28" s="11">
        <f t="shared" ref="C28:I28" si="0">(C7+0.001*(C4-C3)*C8)</f>
        <v>70.47</v>
      </c>
      <c r="D28" s="11">
        <f t="shared" si="0"/>
        <v>53.737881071227612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505.05562955053807</v>
      </c>
    </row>
    <row r="29" spans="1:10" x14ac:dyDescent="0.25">
      <c r="A29" s="10" t="s">
        <v>26</v>
      </c>
      <c r="B29" s="11">
        <f>(B3-B4)*B14-B8*(B3-B4)*B15+B9</f>
        <v>151.37616770978804</v>
      </c>
      <c r="C29" s="11">
        <f t="shared" ref="C29:I29" si="1">(C3-C4)*C14-C8*(C3-C4)*C15+C9</f>
        <v>130.06780000000001</v>
      </c>
      <c r="D29" s="11">
        <f t="shared" si="1"/>
        <v>141.15772422344557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140.13469530014856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1176.6657692291296</v>
      </c>
    </row>
    <row r="30" spans="1:10" x14ac:dyDescent="0.25">
      <c r="A30" s="10" t="s">
        <v>25</v>
      </c>
      <c r="B30" s="11">
        <f>B3</f>
        <v>19865.240232487326</v>
      </c>
      <c r="C30" s="11">
        <f t="shared" ref="C30:I30" si="2">C3</f>
        <v>10000</v>
      </c>
      <c r="D30" s="11">
        <f t="shared" si="2"/>
        <v>13755.434033849866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15804.469471489701</v>
      </c>
      <c r="H30" s="11">
        <f t="shared" si="2"/>
        <v>17000</v>
      </c>
      <c r="I30" s="11">
        <f t="shared" si="2"/>
        <v>18254.335220769153</v>
      </c>
      <c r="J30" s="11">
        <f>SUM(B30:I30)</f>
        <v>120000</v>
      </c>
    </row>
    <row r="31" spans="1:10" x14ac:dyDescent="0.25">
      <c r="A31" s="10" t="s">
        <v>27</v>
      </c>
      <c r="B31" s="11">
        <f>(B3-B4)*B16-B8*(B3-B4)*B17+(B14*(B3-B4)-B8*(B3-B4)*B15)*B18+B10</f>
        <v>0.68280465204430496</v>
      </c>
      <c r="C31" s="11">
        <f t="shared" ref="C31:I31" si="3">(C3-C4)*C16-C8*(C3-C4)*C17+(C14*(C3-C4)-C8*(C3-C4)*C15)*C18+C10</f>
        <v>0.6914772400000001</v>
      </c>
      <c r="D31" s="11">
        <f t="shared" si="3"/>
        <v>0.39999999999996055</v>
      </c>
      <c r="E31" s="11">
        <f t="shared" si="3"/>
        <v>0.66773384999999996</v>
      </c>
      <c r="F31" s="11">
        <f t="shared" si="3"/>
        <v>0.4</v>
      </c>
      <c r="G31" s="11">
        <f t="shared" si="3"/>
        <v>0.4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20.318167709788035</v>
      </c>
      <c r="C32" s="11">
        <f t="shared" ref="C32:I32" si="4">(C14-C8*C15)*C3</f>
        <v>9.0460000000000012</v>
      </c>
      <c r="D32" s="11">
        <f t="shared" si="4"/>
        <v>34.234524223445547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26.221195300148562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195.33260922912956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2015-10-05T16:57:41Z</dcterms:created>
  <dc:creator>Sergey</dc:creator>
  <cp:lastModifiedBy>Sergey</cp:lastModifiedBy>
  <dcterms:modified xsi:type="dcterms:W3CDTF">2015-11-09T18:07:16Z</dcterms:modified>
</cp:coreProperties>
</file>