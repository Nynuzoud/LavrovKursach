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\Documents\Лавров курсач\"/>
    </mc:Choice>
  </mc:AlternateContent>
  <bookViews>
    <workbookView xWindow="0" yWindow="0" windowWidth="2160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C32" i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<sst xmlns="http://schemas.openxmlformats.org/spreadsheetml/2006/main" count="31" uniqueCount="30">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</sst>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workbookViewId="0">
      <selection activeCell="L11" sqref="L11"/>
    </sheetView>
  </sheetViews>
  <sheetFormatPr defaultRowHeight="15" x14ac:dyDescent="0.25"/>
  <cols>
    <col min="1" max="1" width="66.42578125" bestFit="1" customWidth="1"/>
    <col min="2" max="2" width="10.28515625" bestFit="1" customWidth="1"/>
    <col min="6" max="6" width="12.42578125" bestFit="1" customWidth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19865.240232487326</v>
      </c>
      <c r="C3" s="20">
        <v>10000</v>
      </c>
      <c r="D3" s="20">
        <v>13755.434033849866</v>
      </c>
      <c r="E3" s="20">
        <v>10000</v>
      </c>
      <c r="F3" s="20">
        <v>15320.521041403947</v>
      </c>
      <c r="G3" s="20">
        <v>15804.469471489701</v>
      </c>
      <c r="H3" s="20">
        <v>17000</v>
      </c>
      <c r="I3" s="21">
        <v>18254.335220769153</v>
      </c>
      <c r="J3" s="19">
        <f>SUM(B3:I3)</f>
        <v>120000</v>
      </c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61.379508262832481</v>
      </c>
      <c r="C28" s="11">
        <f t="shared" ref="C28:I28" si="0">(C7+0.001*(C4-C3)*C8)</f>
        <v>70.47</v>
      </c>
      <c r="D28" s="11">
        <f t="shared" si="0"/>
        <v>53.737881071227612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505.05562955053807</v>
      </c>
    </row>
    <row r="29" spans="1:10" x14ac:dyDescent="0.25">
      <c r="A29" s="10" t="s">
        <v>26</v>
      </c>
      <c r="B29" s="11">
        <f>(B3-B4)*B14-B8*(B3-B4)*B15+B9</f>
        <v>151.37616770978804</v>
      </c>
      <c r="C29" s="11">
        <f t="shared" ref="C29:I29" si="1">(C3-C4)*C14-C8*(C3-C4)*C15+C9</f>
        <v>130.06780000000001</v>
      </c>
      <c r="D29" s="11">
        <f t="shared" si="1"/>
        <v>141.15772422344557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140.13469530014856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1176.6657692291296</v>
      </c>
    </row>
    <row r="30" spans="1:10" x14ac:dyDescent="0.25">
      <c r="A30" s="10" t="s">
        <v>25</v>
      </c>
      <c r="B30" s="11">
        <f>B3</f>
        <v>19865.240232487326</v>
      </c>
      <c r="C30" s="11">
        <f t="shared" ref="C30:I30" si="2">C3</f>
        <v>10000</v>
      </c>
      <c r="D30" s="11">
        <f t="shared" si="2"/>
        <v>13755.434033849866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15804.469471489701</v>
      </c>
      <c r="H30" s="11">
        <f t="shared" si="2"/>
        <v>17000</v>
      </c>
      <c r="I30" s="11">
        <f t="shared" si="2"/>
        <v>18254.335220769153</v>
      </c>
      <c r="J30" s="11">
        <f>SUM(B30:I30)</f>
        <v>120000</v>
      </c>
    </row>
    <row r="31" spans="1:10" x14ac:dyDescent="0.25">
      <c r="A31" s="10" t="s">
        <v>27</v>
      </c>
      <c r="B31" s="11">
        <f>(B3-B4)*B16-B8*(B3-B4)*B17+(B14*(B3-B4)-B8*(B3-B4)*B15)*B18+B10</f>
        <v>0.68280465204430496</v>
      </c>
      <c r="C31" s="11">
        <f t="shared" ref="C31:I31" si="3">(C3-C4)*C16-C8*(C3-C4)*C17+(C14*(C3-C4)-C8*(C3-C4)*C15)*C18+C10</f>
        <v>0.6914772400000001</v>
      </c>
      <c r="D31" s="11">
        <f t="shared" si="3"/>
        <v>0.39999999999996055</v>
      </c>
      <c r="E31" s="11">
        <f t="shared" si="3"/>
        <v>0.66773384999999996</v>
      </c>
      <c r="F31" s="11">
        <f t="shared" si="3"/>
        <v>0.4</v>
      </c>
      <c r="G31" s="11">
        <f t="shared" si="3"/>
        <v>0.4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20.318167709788035</v>
      </c>
      <c r="C32" s="11">
        <f t="shared" ref="C32:I32" si="4">(C14-C8*C15)*C3</f>
        <v>9.0460000000000012</v>
      </c>
      <c r="D32" s="11">
        <f t="shared" si="4"/>
        <v>34.234524223445547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26.221195300148562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195.33260922912956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2015-10-05T16:57:41Z</dcterms:created>
  <dcterms:modified xsi:type="dcterms:W3CDTF">2015-10-20T18:50:35Z</dcterms:modified>
</cp:coreProperties>
</file>